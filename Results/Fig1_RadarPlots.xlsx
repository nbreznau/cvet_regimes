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4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\CVET_barriers_DEGBSE\Results\"/>
    </mc:Choice>
  </mc:AlternateContent>
  <xr:revisionPtr revIDLastSave="0" documentId="13_ncr:1_{5C98F060-793D-48E5-AF84-6F9D56A19443}" xr6:coauthVersionLast="47" xr6:coauthVersionMax="47" xr10:uidLastSave="{00000000-0000-0000-0000-000000000000}"/>
  <bookViews>
    <workbookView xWindow="-110" yWindow="-110" windowWidth="19420" windowHeight="11500" xr2:uid="{A07162B4-7B9B-40A3-92A2-4D8AE117866D}"/>
  </bookViews>
  <sheets>
    <sheet name="CVET" sheetId="1" r:id="rId1"/>
    <sheet name="Barriers" sheetId="2" r:id="rId2"/>
    <sheet name="Barriers_low" sheetId="6" r:id="rId3"/>
    <sheet name="Interested" sheetId="4" r:id="rId4"/>
    <sheet name="Sheet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4" l="1"/>
  <c r="C3" i="4"/>
  <c r="D3" i="4"/>
  <c r="B4" i="4"/>
  <c r="C4" i="4"/>
  <c r="D4" i="4"/>
  <c r="B5" i="4"/>
  <c r="C5" i="4"/>
  <c r="D5" i="4"/>
  <c r="B6" i="4"/>
  <c r="C6" i="4"/>
  <c r="D6" i="4"/>
  <c r="B7" i="4"/>
  <c r="C7" i="4"/>
  <c r="D7" i="4"/>
  <c r="C2" i="4"/>
  <c r="D2" i="4"/>
  <c r="B2" i="4"/>
  <c r="C7" i="6"/>
  <c r="D7" i="6"/>
  <c r="B7" i="6"/>
  <c r="C7" i="2"/>
  <c r="D7" i="2"/>
  <c r="B7" i="2"/>
  <c r="B9" i="1"/>
  <c r="C9" i="1"/>
  <c r="D9" i="1"/>
  <c r="B10" i="1"/>
  <c r="C10" i="1"/>
  <c r="D10" i="1"/>
  <c r="B11" i="1"/>
  <c r="C11" i="1"/>
  <c r="D11" i="1"/>
  <c r="B12" i="1"/>
  <c r="C12" i="1"/>
  <c r="D12" i="1"/>
  <c r="C8" i="1"/>
  <c r="D8" i="1"/>
  <c r="B8" i="1"/>
</calcChain>
</file>

<file path=xl/sharedStrings.xml><?xml version="1.0" encoding="utf-8"?>
<sst xmlns="http://schemas.openxmlformats.org/spreadsheetml/2006/main" count="40" uniqueCount="18">
  <si>
    <t>DE</t>
  </si>
  <si>
    <t>SE</t>
  </si>
  <si>
    <t>UK</t>
  </si>
  <si>
    <t>Variable</t>
  </si>
  <si>
    <t>Overall</t>
  </si>
  <si>
    <t>Any</t>
  </si>
  <si>
    <t>Time</t>
  </si>
  <si>
    <t>Money</t>
  </si>
  <si>
    <t>Support</t>
  </si>
  <si>
    <t>Care</t>
  </si>
  <si>
    <t>No Interest</t>
  </si>
  <si>
    <t>CVET</t>
  </si>
  <si>
    <t>Highest                                         Occ Status</t>
  </si>
  <si>
    <t>Lowest                              Occ Status</t>
  </si>
  <si>
    <t>Primary                                                Educ</t>
  </si>
  <si>
    <t>Tertiary                                              Educ</t>
  </si>
  <si>
    <t>CVET                            Low SES</t>
  </si>
  <si>
    <t>Any Barrier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</si>
</sst>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 x14ac:knownFonts="1">
    <font>
      <sz val="11"/>
      <color theme="1"/>
      <name val="Aptos Narrow"/>
      <family val="2"/>
      <scheme val="minor"/>
    </font>
    <font>
      <sz val="7"/>
      <color rgb="FF000000"/>
      <name val="Times New Roman"/>
      <family val="1"/>
    </font>
    <font>
      <sz val="7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radarChart>
        <c:radarStyle val="marker"/>
        <c:varyColors val="0"/>
        <c:ser>
          <c:idx val="0"/>
          <c:order val="0"/>
          <c:tx>
            <c:strRef>
              <c:f>CVET!$B$1</c:f>
              <c:strCache>
                <c:ptCount val="1"/>
                <c:pt idx="0">
                  <c:v>DE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3.3333276828017594E-2"/>
                  <c:y val="7.265091863517037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133-4F55-A0F1-2CC352B48D9F}"/>
                </c:ext>
              </c:extLst>
            </c:dLbl>
            <c:dLbl>
              <c:idx val="1"/>
              <c:layout>
                <c:manualLayout>
                  <c:x val="1.3888888888888888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133-4F55-A0F1-2CC352B48D9F}"/>
                </c:ext>
              </c:extLst>
            </c:dLbl>
            <c:dLbl>
              <c:idx val="2"/>
              <c:layout>
                <c:manualLayout>
                  <c:x val="1.9444444444444344E-2"/>
                  <c:y val="-8.796296296296296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133-4F55-A0F1-2CC352B48D9F}"/>
                </c:ext>
              </c:extLst>
            </c:dLbl>
            <c:dLbl>
              <c:idx val="4"/>
              <c:layout>
                <c:manualLayout>
                  <c:x val="9.0557453192409071E-2"/>
                  <c:y val="3.012840702604472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133-4F55-A0F1-2CC352B48D9F}"/>
                </c:ext>
              </c:extLst>
            </c:dLbl>
            <c:dLbl>
              <c:idx val="5"/>
              <c:layout>
                <c:manualLayout>
                  <c:x val="0.116254036598493"/>
                  <c:y val="6.666666666666666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2FD-4266-8FBA-69915202A0C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CVET!$A$2:$A$7</c:f>
              <c:strCache>
                <c:ptCount val="6"/>
                <c:pt idx="0">
                  <c:v>Overall</c:v>
                </c:pt>
                <c:pt idx="1">
                  <c:v>Primary                                                Educ</c:v>
                </c:pt>
                <c:pt idx="2">
                  <c:v>Tertiary                                              Educ</c:v>
                </c:pt>
                <c:pt idx="3">
                  <c:v>Lowest                              Occ Status</c:v>
                </c:pt>
                <c:pt idx="4">
                  <c:v>Highest                                         Occ Status</c:v>
                </c:pt>
                <c:pt idx="5">
                  <c:v>Any Barrier</c:v>
                </c:pt>
              </c:strCache>
            </c:strRef>
          </c:cat>
          <c:val>
            <c:numRef>
              <c:f>CVET!$B$2:$B$7</c:f>
              <c:numCache>
                <c:formatCode>0.0%</c:formatCode>
                <c:ptCount val="6"/>
                <c:pt idx="0">
                  <c:v>0.53090000000000004</c:v>
                </c:pt>
                <c:pt idx="1">
                  <c:v>0.22210000000000002</c:v>
                </c:pt>
                <c:pt idx="2">
                  <c:v>0.67480000000000007</c:v>
                </c:pt>
                <c:pt idx="3">
                  <c:v>0.1099</c:v>
                </c:pt>
                <c:pt idx="4">
                  <c:v>0.69629999999999992</c:v>
                </c:pt>
                <c:pt idx="5">
                  <c:v>0.70399999999999996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33-4F55-A0F1-2CC352B48D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902223"/>
        <c:axId val="2086903183"/>
      </c:radarChart>
      <c:catAx>
        <c:axId val="20869022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1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903183"/>
        <c:crosses val="autoZero"/>
        <c:auto val="1"/>
        <c:lblAlgn val="ctr"/>
        <c:lblOffset val="100"/>
        <c:noMultiLvlLbl val="0"/>
      </c:catAx>
      <c:valAx>
        <c:axId val="2086903183"/>
        <c:scaling>
          <c:orientation val="minMax"/>
          <c:max val="0.8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crossAx val="20869022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radarChart>
        <c:radarStyle val="marker"/>
        <c:varyColors val="0"/>
        <c:ser>
          <c:idx val="0"/>
          <c:order val="0"/>
          <c:tx>
            <c:strRef>
              <c:f>CVET!$C$1</c:f>
              <c:strCache>
                <c:ptCount val="1"/>
                <c:pt idx="0">
                  <c:v>SE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0"/>
                  <c:y val="2.314814814814814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07C-4D27-AA6A-3BD46B6AE325}"/>
                </c:ext>
              </c:extLst>
            </c:dLbl>
            <c:dLbl>
              <c:idx val="1"/>
              <c:layout>
                <c:manualLayout>
                  <c:x val="7.9681249903926898E-3"/>
                  <c:y val="-5.1413881748071976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507C-4D27-AA6A-3BD46B6AE325}"/>
                </c:ext>
              </c:extLst>
            </c:dLbl>
            <c:dLbl>
              <c:idx val="2"/>
              <c:layout>
                <c:manualLayout>
                  <c:x val="2.4999999999999897E-2"/>
                  <c:y val="-8.33333333333334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07C-4D27-AA6A-3BD46B6AE325}"/>
                </c:ext>
              </c:extLst>
            </c:dLbl>
            <c:dLbl>
              <c:idx val="4"/>
              <c:layout>
                <c:manualLayout>
                  <c:x val="9.4459308152556293E-2"/>
                  <c:y val="3.031273404449122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07C-4D27-AA6A-3BD46B6AE325}"/>
                </c:ext>
              </c:extLst>
            </c:dLbl>
            <c:dLbl>
              <c:idx val="5"/>
              <c:layout>
                <c:manualLayout>
                  <c:x val="6.0344807105346489E-2"/>
                  <c:y val="-3.084832904884318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FAB-4AD6-9678-FBACB517E45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CVET!$A$2:$A$7</c:f>
              <c:strCache>
                <c:ptCount val="6"/>
                <c:pt idx="0">
                  <c:v>Overall</c:v>
                </c:pt>
                <c:pt idx="1">
                  <c:v>Primary                                                Educ</c:v>
                </c:pt>
                <c:pt idx="2">
                  <c:v>Tertiary                                              Educ</c:v>
                </c:pt>
                <c:pt idx="3">
                  <c:v>Lowest                              Occ Status</c:v>
                </c:pt>
                <c:pt idx="4">
                  <c:v>Highest                                         Occ Status</c:v>
                </c:pt>
                <c:pt idx="5">
                  <c:v>Any Barrier</c:v>
                </c:pt>
              </c:strCache>
            </c:strRef>
          </c:cat>
          <c:val>
            <c:numRef>
              <c:f>CVET!$C$2:$C$7</c:f>
              <c:numCache>
                <c:formatCode>0.0%</c:formatCode>
                <c:ptCount val="6"/>
                <c:pt idx="0">
                  <c:v>0.59450000000000003</c:v>
                </c:pt>
                <c:pt idx="1">
                  <c:v>0.38130000000000003</c:v>
                </c:pt>
                <c:pt idx="2">
                  <c:v>0.69</c:v>
                </c:pt>
                <c:pt idx="3">
                  <c:v>0.39779999999999999</c:v>
                </c:pt>
                <c:pt idx="4">
                  <c:v>0.70709999999999995</c:v>
                </c:pt>
                <c:pt idx="5">
                  <c:v>0.65400000000000003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7C-4D27-AA6A-3BD46B6AE3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487263"/>
        <c:axId val="60488703"/>
      </c:radarChart>
      <c:catAx>
        <c:axId val="604872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1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488703"/>
        <c:crosses val="autoZero"/>
        <c:auto val="1"/>
        <c:lblAlgn val="ctr"/>
        <c:lblOffset val="100"/>
        <c:noMultiLvlLbl val="0"/>
      </c:catAx>
      <c:valAx>
        <c:axId val="60488703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crossAx val="604872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radarChart>
        <c:radarStyle val="marker"/>
        <c:varyColors val="0"/>
        <c:ser>
          <c:idx val="0"/>
          <c:order val="0"/>
          <c:tx>
            <c:strRef>
              <c:f>CVET!$D$1</c:f>
              <c:strCache>
                <c:ptCount val="1"/>
                <c:pt idx="0">
                  <c:v>UK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0"/>
                  <c:y val="1.851851851851851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2AE-471E-B4B6-C21BFB921DA0}"/>
                </c:ext>
              </c:extLst>
            </c:dLbl>
            <c:dLbl>
              <c:idx val="2"/>
              <c:layout>
                <c:manualLayout>
                  <c:x val="2.5000000000000001E-2"/>
                  <c:y val="-9.259259259259258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2AE-471E-B4B6-C21BFB921DA0}"/>
                </c:ext>
              </c:extLst>
            </c:dLbl>
            <c:dLbl>
              <c:idx val="4"/>
              <c:layout>
                <c:manualLayout>
                  <c:x val="7.2507341987656904E-2"/>
                  <c:y val="2.368634153288978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2AE-471E-B4B6-C21BFB921DA0}"/>
                </c:ext>
              </c:extLst>
            </c:dLbl>
            <c:dLbl>
              <c:idx val="5"/>
              <c:layout>
                <c:manualLayout>
                  <c:x val="0.13405405405405402"/>
                  <c:y val="6.20155038759690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02C-4607-84ED-2E6B914CE9D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CVET!$A$2:$A$7</c:f>
              <c:strCache>
                <c:ptCount val="6"/>
                <c:pt idx="0">
                  <c:v>Overall</c:v>
                </c:pt>
                <c:pt idx="1">
                  <c:v>Primary                                                Educ</c:v>
                </c:pt>
                <c:pt idx="2">
                  <c:v>Tertiary                                              Educ</c:v>
                </c:pt>
                <c:pt idx="3">
                  <c:v>Lowest                              Occ Status</c:v>
                </c:pt>
                <c:pt idx="4">
                  <c:v>Highest                                         Occ Status</c:v>
                </c:pt>
                <c:pt idx="5">
                  <c:v>Any Barrier</c:v>
                </c:pt>
              </c:strCache>
            </c:strRef>
          </c:cat>
          <c:val>
            <c:numRef>
              <c:f>CVET!$D$2:$D$7</c:f>
              <c:numCache>
                <c:formatCode>0.0%</c:formatCode>
                <c:ptCount val="6"/>
                <c:pt idx="0">
                  <c:v>0.56779999999999997</c:v>
                </c:pt>
                <c:pt idx="1">
                  <c:v>0.41060000000000002</c:v>
                </c:pt>
                <c:pt idx="2">
                  <c:v>0.65159999999999996</c:v>
                </c:pt>
                <c:pt idx="3">
                  <c:v>0.33210000000000001</c:v>
                </c:pt>
                <c:pt idx="4">
                  <c:v>0.68370000000000009</c:v>
                </c:pt>
                <c:pt idx="5">
                  <c:v>0.68400000000000005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AE-471E-B4B6-C21BFB921D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149679"/>
        <c:axId val="61151599"/>
      </c:radarChart>
      <c:catAx>
        <c:axId val="611496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1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151599"/>
        <c:crosses val="autoZero"/>
        <c:auto val="1"/>
        <c:lblAlgn val="ctr"/>
        <c:lblOffset val="100"/>
        <c:noMultiLvlLbl val="0"/>
      </c:catAx>
      <c:valAx>
        <c:axId val="61151599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crossAx val="61149679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radarChart>
        <c:radarStyle val="marker"/>
        <c:varyColors val="0"/>
        <c:ser>
          <c:idx val="0"/>
          <c:order val="0"/>
          <c:tx>
            <c:strRef>
              <c:f>Barriers!$B$1</c:f>
              <c:strCache>
                <c:ptCount val="1"/>
                <c:pt idx="0">
                  <c:v>DE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6.5115928634883788E-2"/>
                  <c:y val="5.852258599254040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450-4270-A87E-6A1128A86025}"/>
                </c:ext>
              </c:extLst>
            </c:dLbl>
            <c:dLbl>
              <c:idx val="5"/>
              <c:layout>
                <c:manualLayout>
                  <c:x val="0.162670630640534"/>
                  <c:y val="7.237422295897223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450-4270-A87E-6A1128A8602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Barriers!$A$2:$A$7</c:f>
              <c:strCache>
                <c:ptCount val="6"/>
                <c:pt idx="0">
                  <c:v>Any</c:v>
                </c:pt>
                <c:pt idx="1">
                  <c:v>Time</c:v>
                </c:pt>
                <c:pt idx="2">
                  <c:v>Money</c:v>
                </c:pt>
                <c:pt idx="3">
                  <c:v>Support</c:v>
                </c:pt>
                <c:pt idx="4">
                  <c:v>Care</c:v>
                </c:pt>
                <c:pt idx="5">
                  <c:v>No Interest</c:v>
                </c:pt>
              </c:strCache>
            </c:strRef>
          </c:cat>
          <c:val>
            <c:numRef>
              <c:f>Barriers!$B$2:$B$7</c:f>
              <c:numCache>
                <c:formatCode>0.0%</c:formatCode>
                <c:ptCount val="6"/>
                <c:pt idx="0">
                  <c:v>0.32729999999999998</c:v>
                </c:pt>
                <c:pt idx="1">
                  <c:v>0.17180000000000001</c:v>
                </c:pt>
                <c:pt idx="2">
                  <c:v>2.69E-2</c:v>
                </c:pt>
                <c:pt idx="3">
                  <c:v>3.6499999999999998E-2</c:v>
                </c:pt>
                <c:pt idx="4">
                  <c:v>4.4299999999999999E-2</c:v>
                </c:pt>
                <c:pt idx="5">
                  <c:v>0.5887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50-4270-A87E-6A1128A860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8168847"/>
        <c:axId val="128167887"/>
      </c:radarChart>
      <c:catAx>
        <c:axId val="1281688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1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167887"/>
        <c:crosses val="autoZero"/>
        <c:auto val="1"/>
        <c:lblAlgn val="ctr"/>
        <c:lblOffset val="100"/>
        <c:noMultiLvlLbl val="0"/>
      </c:catAx>
      <c:valAx>
        <c:axId val="128167887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crossAx val="1281688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radarChart>
        <c:radarStyle val="marker"/>
        <c:varyColors val="0"/>
        <c:ser>
          <c:idx val="0"/>
          <c:order val="0"/>
          <c:tx>
            <c:strRef>
              <c:f>Barriers!$C$1</c:f>
              <c:strCache>
                <c:ptCount val="1"/>
                <c:pt idx="0">
                  <c:v>SE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6.2255037129832595E-2"/>
                  <c:y val="5.365478657273103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357-47B8-9647-44D1B6D8C2CB}"/>
                </c:ext>
              </c:extLst>
            </c:dLbl>
            <c:dLbl>
              <c:idx val="5"/>
              <c:layout>
                <c:manualLayout>
                  <c:x val="0.14008024082746925"/>
                  <c:y val="5.282677165354325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357-47B8-9647-44D1B6D8C2C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Barriers!$A$2:$A$7</c:f>
              <c:strCache>
                <c:ptCount val="6"/>
                <c:pt idx="0">
                  <c:v>Any</c:v>
                </c:pt>
                <c:pt idx="1">
                  <c:v>Time</c:v>
                </c:pt>
                <c:pt idx="2">
                  <c:v>Money</c:v>
                </c:pt>
                <c:pt idx="3">
                  <c:v>Support</c:v>
                </c:pt>
                <c:pt idx="4">
                  <c:v>Care</c:v>
                </c:pt>
                <c:pt idx="5">
                  <c:v>No Interest</c:v>
                </c:pt>
              </c:strCache>
            </c:strRef>
          </c:cat>
          <c:val>
            <c:numRef>
              <c:f>Barriers!$C$2:$C$7</c:f>
              <c:numCache>
                <c:formatCode>0.0%</c:formatCode>
                <c:ptCount val="6"/>
                <c:pt idx="0">
                  <c:v>0.36420000000000002</c:v>
                </c:pt>
                <c:pt idx="1">
                  <c:v>0.16200000000000001</c:v>
                </c:pt>
                <c:pt idx="2">
                  <c:v>3.7200000000000004E-2</c:v>
                </c:pt>
                <c:pt idx="3">
                  <c:v>3.2500000000000001E-2</c:v>
                </c:pt>
                <c:pt idx="4">
                  <c:v>5.3600000000000002E-2</c:v>
                </c:pt>
                <c:pt idx="5">
                  <c:v>0.51800000000000002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57-47B8-9647-44D1B6D8C2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0372959"/>
        <c:axId val="2110374399"/>
      </c:radarChart>
      <c:catAx>
        <c:axId val="2110372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1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0374399"/>
        <c:crosses val="autoZero"/>
        <c:auto val="1"/>
        <c:lblAlgn val="ctr"/>
        <c:lblOffset val="100"/>
        <c:noMultiLvlLbl val="0"/>
      </c:catAx>
      <c:valAx>
        <c:axId val="2110374399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crossAx val="21103729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radarChart>
        <c:radarStyle val="marker"/>
        <c:varyColors val="0"/>
        <c:ser>
          <c:idx val="0"/>
          <c:order val="0"/>
          <c:tx>
            <c:strRef>
              <c:f>Barriers!$D$1</c:f>
              <c:strCache>
                <c:ptCount val="1"/>
                <c:pt idx="0">
                  <c:v>UK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4.7272713737233005E-2"/>
                  <c:y val="3.015075376884419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EA3-448F-9BCF-1C934F0D1E70}"/>
                </c:ext>
              </c:extLst>
            </c:dLbl>
            <c:dLbl>
              <c:idx val="5"/>
              <c:layout>
                <c:manualLayout>
                  <c:x val="0.15874906322400395"/>
                  <c:y val="7.197845006216328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EA3-448F-9BCF-1C934F0D1E7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Barriers!$A$2:$A$7</c:f>
              <c:strCache>
                <c:ptCount val="6"/>
                <c:pt idx="0">
                  <c:v>Any</c:v>
                </c:pt>
                <c:pt idx="1">
                  <c:v>Time</c:v>
                </c:pt>
                <c:pt idx="2">
                  <c:v>Money</c:v>
                </c:pt>
                <c:pt idx="3">
                  <c:v>Support</c:v>
                </c:pt>
                <c:pt idx="4">
                  <c:v>Care</c:v>
                </c:pt>
                <c:pt idx="5">
                  <c:v>No Interest</c:v>
                </c:pt>
              </c:strCache>
            </c:strRef>
          </c:cat>
          <c:val>
            <c:numRef>
              <c:f>Barriers!$D$2:$D$7</c:f>
              <c:numCache>
                <c:formatCode>0.0%</c:formatCode>
                <c:ptCount val="6"/>
                <c:pt idx="0">
                  <c:v>0.27889999999999998</c:v>
                </c:pt>
                <c:pt idx="1">
                  <c:v>0.13140000000000002</c:v>
                </c:pt>
                <c:pt idx="2">
                  <c:v>5.4000000000000006E-2</c:v>
                </c:pt>
                <c:pt idx="3">
                  <c:v>2.7000000000000003E-2</c:v>
                </c:pt>
                <c:pt idx="4">
                  <c:v>3.3099999999999997E-2</c:v>
                </c:pt>
                <c:pt idx="5">
                  <c:v>0.57609999999999995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A3-448F-9BCF-1C934F0D1E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183487"/>
        <c:axId val="61183967"/>
      </c:radarChart>
      <c:catAx>
        <c:axId val="611834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1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183967"/>
        <c:crosses val="autoZero"/>
        <c:auto val="1"/>
        <c:lblAlgn val="ctr"/>
        <c:lblOffset val="100"/>
        <c:noMultiLvlLbl val="0"/>
      </c:catAx>
      <c:valAx>
        <c:axId val="61183967"/>
        <c:scaling>
          <c:orientation val="minMax"/>
          <c:max val="0.60000000000000009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crossAx val="611834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radarChart>
        <c:radarStyle val="marker"/>
        <c:varyColors val="0"/>
        <c:ser>
          <c:idx val="0"/>
          <c:order val="0"/>
          <c:tx>
            <c:strRef>
              <c:f>Barriers_low!$B$1</c:f>
              <c:strCache>
                <c:ptCount val="1"/>
                <c:pt idx="0">
                  <c:v>DE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8.3333333333332309E-3"/>
                  <c:y val="2.314814814814810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5A05-4F01-B8E9-885D3472427A}"/>
                </c:ext>
              </c:extLst>
            </c:dLbl>
            <c:dLbl>
              <c:idx val="5"/>
              <c:layout>
                <c:manualLayout>
                  <c:x val="9.8634649027300778E-2"/>
                  <c:y val="-1.388884235215283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A05-4F01-B8E9-885D3472427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Barriers_low!$A$2:$A$7</c:f>
              <c:strCache>
                <c:ptCount val="6"/>
                <c:pt idx="0">
                  <c:v>Any</c:v>
                </c:pt>
                <c:pt idx="1">
                  <c:v>Time</c:v>
                </c:pt>
                <c:pt idx="2">
                  <c:v>Money</c:v>
                </c:pt>
                <c:pt idx="3">
                  <c:v>Support</c:v>
                </c:pt>
                <c:pt idx="4">
                  <c:v>Care</c:v>
                </c:pt>
                <c:pt idx="5">
                  <c:v>No Interest</c:v>
                </c:pt>
              </c:strCache>
            </c:strRef>
          </c:cat>
          <c:val>
            <c:numRef>
              <c:f>Barriers_low!$B$2:$B$7</c:f>
              <c:numCache>
                <c:formatCode>0.0%</c:formatCode>
                <c:ptCount val="6"/>
                <c:pt idx="0">
                  <c:v>0.18280000000000002</c:v>
                </c:pt>
                <c:pt idx="1">
                  <c:v>8.0100000000000005E-2</c:v>
                </c:pt>
                <c:pt idx="2">
                  <c:v>1.23E-2</c:v>
                </c:pt>
                <c:pt idx="3">
                  <c:v>2.1299999999999999E-2</c:v>
                </c:pt>
                <c:pt idx="4">
                  <c:v>2.3199999999999998E-2</c:v>
                </c:pt>
                <c:pt idx="5">
                  <c:v>0.75340000000000007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A05-4F01-B8E9-885D347242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8168847"/>
        <c:axId val="128167887"/>
      </c:radarChart>
      <c:catAx>
        <c:axId val="1281688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1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167887"/>
        <c:crosses val="autoZero"/>
        <c:auto val="1"/>
        <c:lblAlgn val="ctr"/>
        <c:lblOffset val="100"/>
        <c:noMultiLvlLbl val="0"/>
      </c:catAx>
      <c:valAx>
        <c:axId val="128167887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crossAx val="1281688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radarChart>
        <c:radarStyle val="marker"/>
        <c:varyColors val="0"/>
        <c:ser>
          <c:idx val="0"/>
          <c:order val="0"/>
          <c:tx>
            <c:strRef>
              <c:f>Barriers_low!$C$1</c:f>
              <c:strCache>
                <c:ptCount val="1"/>
                <c:pt idx="0">
                  <c:v>SE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5.833333333333323E-2"/>
                  <c:y val="6.944444444444444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2B1-444C-A982-5378E98A0073}"/>
                </c:ext>
              </c:extLst>
            </c:dLbl>
            <c:dLbl>
              <c:idx val="5"/>
              <c:layout>
                <c:manualLayout>
                  <c:x val="8.6548850940641756E-2"/>
                  <c:y val="-2.0587200536103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2B1-444C-A982-5378E98A007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Barriers_low!$A$2:$A$7</c:f>
              <c:strCache>
                <c:ptCount val="6"/>
                <c:pt idx="0">
                  <c:v>Any</c:v>
                </c:pt>
                <c:pt idx="1">
                  <c:v>Time</c:v>
                </c:pt>
                <c:pt idx="2">
                  <c:v>Money</c:v>
                </c:pt>
                <c:pt idx="3">
                  <c:v>Support</c:v>
                </c:pt>
                <c:pt idx="4">
                  <c:v>Care</c:v>
                </c:pt>
                <c:pt idx="5">
                  <c:v>No Interest</c:v>
                </c:pt>
              </c:strCache>
            </c:strRef>
          </c:cat>
          <c:val>
            <c:numRef>
              <c:f>Barriers_low!$C$2:$C$7</c:f>
              <c:numCache>
                <c:formatCode>0.0%</c:formatCode>
                <c:ptCount val="6"/>
                <c:pt idx="0">
                  <c:v>0.25329999999999997</c:v>
                </c:pt>
                <c:pt idx="1">
                  <c:v>9.4100000000000003E-2</c:v>
                </c:pt>
                <c:pt idx="2">
                  <c:v>2.8399999999999998E-2</c:v>
                </c:pt>
                <c:pt idx="3">
                  <c:v>2.0400000000000001E-2</c:v>
                </c:pt>
                <c:pt idx="4">
                  <c:v>4.1200000000000001E-2</c:v>
                </c:pt>
                <c:pt idx="5">
                  <c:v>0.65650000000000008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2B1-444C-A982-5378E98A00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0372959"/>
        <c:axId val="2110374399"/>
      </c:radarChart>
      <c:catAx>
        <c:axId val="2110372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1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0374399"/>
        <c:crosses val="autoZero"/>
        <c:auto val="1"/>
        <c:lblAlgn val="ctr"/>
        <c:lblOffset val="100"/>
        <c:noMultiLvlLbl val="0"/>
      </c:catAx>
      <c:valAx>
        <c:axId val="2110374399"/>
        <c:scaling>
          <c:orientation val="minMax"/>
          <c:max val="0.8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crossAx val="21103729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radarChart>
        <c:radarStyle val="marker"/>
        <c:varyColors val="0"/>
        <c:ser>
          <c:idx val="0"/>
          <c:order val="0"/>
          <c:tx>
            <c:strRef>
              <c:f>Barriers_low!$D$1</c:f>
              <c:strCache>
                <c:ptCount val="1"/>
                <c:pt idx="0">
                  <c:v>UK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1.3888888888888888E-2"/>
                  <c:y val="1.388888888888884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BA3-4718-BE09-BFA1F8D5C005}"/>
                </c:ext>
              </c:extLst>
            </c:dLbl>
            <c:dLbl>
              <c:idx val="5"/>
              <c:layout>
                <c:manualLayout>
                  <c:x val="9.0301195047733068E-2"/>
                  <c:y val="-1.920799128832300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BA3-4718-BE09-BFA1F8D5C00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Barriers_low!$A$2:$A$7</c:f>
              <c:strCache>
                <c:ptCount val="6"/>
                <c:pt idx="0">
                  <c:v>Any</c:v>
                </c:pt>
                <c:pt idx="1">
                  <c:v>Time</c:v>
                </c:pt>
                <c:pt idx="2">
                  <c:v>Money</c:v>
                </c:pt>
                <c:pt idx="3">
                  <c:v>Support</c:v>
                </c:pt>
                <c:pt idx="4">
                  <c:v>Care</c:v>
                </c:pt>
                <c:pt idx="5">
                  <c:v>No Interest</c:v>
                </c:pt>
              </c:strCache>
            </c:strRef>
          </c:cat>
          <c:val>
            <c:numRef>
              <c:f>Barriers_low!$D$2:$D$7</c:f>
              <c:numCache>
                <c:formatCode>0.0%</c:formatCode>
                <c:ptCount val="6"/>
                <c:pt idx="0">
                  <c:v>0.18090000000000001</c:v>
                </c:pt>
                <c:pt idx="1">
                  <c:v>7.6700000000000004E-2</c:v>
                </c:pt>
                <c:pt idx="2">
                  <c:v>2.7799999999999998E-2</c:v>
                </c:pt>
                <c:pt idx="3">
                  <c:v>2.35E-2</c:v>
                </c:pt>
                <c:pt idx="4">
                  <c:v>2.0199999999999999E-2</c:v>
                </c:pt>
                <c:pt idx="5">
                  <c:v>0.73659999999999992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BA3-4718-BE09-BFA1F8D5C0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183487"/>
        <c:axId val="61183967"/>
      </c:radarChart>
      <c:catAx>
        <c:axId val="611834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1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183967"/>
        <c:crosses val="autoZero"/>
        <c:auto val="1"/>
        <c:lblAlgn val="ctr"/>
        <c:lblOffset val="100"/>
        <c:noMultiLvlLbl val="0"/>
      </c:catAx>
      <c:valAx>
        <c:axId val="61183967"/>
        <c:scaling>
          <c:orientation val="minMax"/>
          <c:max val="0.8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crossAx val="611834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radarChart>
        <c:radarStyle val="marker"/>
        <c:varyColors val="0"/>
        <c:ser>
          <c:idx val="0"/>
          <c:order val="0"/>
          <c:tx>
            <c:strRef>
              <c:f>Interested!$B$1</c:f>
              <c:strCache>
                <c:ptCount val="1"/>
                <c:pt idx="0">
                  <c:v>DE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6.9154110602271016E-2"/>
                  <c:y val="9.153296573623119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6EC-4C52-A54E-CC3F79EB42A1}"/>
                </c:ext>
              </c:extLst>
            </c:dLbl>
            <c:dLbl>
              <c:idx val="1"/>
              <c:layout>
                <c:manualLayout>
                  <c:x val="1.2147722368162289E-2"/>
                  <c:y val="7.870368383788538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6EC-4C52-A54E-CC3F79EB42A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Interested!$A$2:$A$7</c:f>
              <c:strCache>
                <c:ptCount val="6"/>
                <c:pt idx="0">
                  <c:v>CVET</c:v>
                </c:pt>
                <c:pt idx="1">
                  <c:v>CVET                            Low SES</c:v>
                </c:pt>
                <c:pt idx="2">
                  <c:v>Time</c:v>
                </c:pt>
                <c:pt idx="3">
                  <c:v>Money</c:v>
                </c:pt>
                <c:pt idx="4">
                  <c:v>Support</c:v>
                </c:pt>
                <c:pt idx="5">
                  <c:v>Care</c:v>
                </c:pt>
              </c:strCache>
            </c:strRef>
          </c:cat>
          <c:val>
            <c:numRef>
              <c:f>Interested!$B$2:$B$7</c:f>
              <c:numCache>
                <c:formatCode>0.0%</c:formatCode>
                <c:ptCount val="6"/>
                <c:pt idx="0">
                  <c:v>0.76400000000000001</c:v>
                </c:pt>
                <c:pt idx="1">
                  <c:v>0.58320000000000005</c:v>
                </c:pt>
                <c:pt idx="2">
                  <c:v>0.4178</c:v>
                </c:pt>
                <c:pt idx="3">
                  <c:v>6.5299999999999997E-2</c:v>
                </c:pt>
                <c:pt idx="4">
                  <c:v>8.8599999999999998E-2</c:v>
                </c:pt>
                <c:pt idx="5">
                  <c:v>0.10779999999999999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EC-4C52-A54E-CC3F79EB42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9771135"/>
        <c:axId val="179774495"/>
      </c:radarChart>
      <c:catAx>
        <c:axId val="1797711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1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774495"/>
        <c:crosses val="autoZero"/>
        <c:auto val="1"/>
        <c:lblAlgn val="ctr"/>
        <c:lblOffset val="100"/>
        <c:noMultiLvlLbl val="0"/>
      </c:catAx>
      <c:valAx>
        <c:axId val="179774495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crossAx val="1797711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radarChart>
        <c:radarStyle val="marker"/>
        <c:varyColors val="0"/>
        <c:ser>
          <c:idx val="0"/>
          <c:order val="0"/>
          <c:tx>
            <c:strRef>
              <c:f>Interested!$C$1</c:f>
              <c:strCache>
                <c:ptCount val="1"/>
                <c:pt idx="0">
                  <c:v>SE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7.4792550595677937E-2"/>
                  <c:y val="8.227380977922718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DE2-4F4E-950C-E27BD1C56418}"/>
                </c:ext>
              </c:extLst>
            </c:dLbl>
            <c:dLbl>
              <c:idx val="1"/>
              <c:layout>
                <c:manualLayout>
                  <c:x val="7.4626843745784349E-3"/>
                  <c:y val="8.579330172284323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DE2-4F4E-950C-E27BD1C56418}"/>
                </c:ext>
              </c:extLst>
            </c:dLbl>
            <c:dLbl>
              <c:idx val="2"/>
              <c:layout>
                <c:manualLayout>
                  <c:x val="0"/>
                  <c:y val="2.179836512261570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8EA-4F31-BA61-26DDA93BCBBE}"/>
                </c:ext>
              </c:extLst>
            </c:dLbl>
            <c:dLbl>
              <c:idx val="5"/>
              <c:layout>
                <c:manualLayout>
                  <c:x val="-1.4925368749157142E-2"/>
                  <c:y val="-4.9954009666345477E-1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8EA-4F31-BA61-26DDA93BCBB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Interested!$A$2:$A$7</c:f>
              <c:strCache>
                <c:ptCount val="6"/>
                <c:pt idx="0">
                  <c:v>CVET</c:v>
                </c:pt>
                <c:pt idx="1">
                  <c:v>CVET                            Low SES</c:v>
                </c:pt>
                <c:pt idx="2">
                  <c:v>Time</c:v>
                </c:pt>
                <c:pt idx="3">
                  <c:v>Money</c:v>
                </c:pt>
                <c:pt idx="4">
                  <c:v>Support</c:v>
                </c:pt>
                <c:pt idx="5">
                  <c:v>Care</c:v>
                </c:pt>
              </c:strCache>
            </c:strRef>
          </c:cat>
          <c:val>
            <c:numRef>
              <c:f>Interested!$C$2:$C$7</c:f>
              <c:numCache>
                <c:formatCode>0.0%</c:formatCode>
                <c:ptCount val="6"/>
                <c:pt idx="0">
                  <c:v>0.73840000000000006</c:v>
                </c:pt>
                <c:pt idx="1">
                  <c:v>0.59799999999999998</c:v>
                </c:pt>
                <c:pt idx="2">
                  <c:v>0.33600000000000002</c:v>
                </c:pt>
                <c:pt idx="3">
                  <c:v>7.7199999999999991E-2</c:v>
                </c:pt>
                <c:pt idx="4">
                  <c:v>6.7400000000000002E-2</c:v>
                </c:pt>
                <c:pt idx="5">
                  <c:v>0.11130000000000001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E2-4F4E-950C-E27BD1C564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09833215"/>
        <c:axId val="2109834655"/>
      </c:radarChart>
      <c:catAx>
        <c:axId val="21098332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1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9834655"/>
        <c:crosses val="autoZero"/>
        <c:auto val="1"/>
        <c:lblAlgn val="ctr"/>
        <c:lblOffset val="100"/>
        <c:noMultiLvlLbl val="0"/>
      </c:catAx>
      <c:valAx>
        <c:axId val="2109834655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crossAx val="21098332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radarChart>
        <c:radarStyle val="marker"/>
        <c:varyColors val="0"/>
        <c:ser>
          <c:idx val="0"/>
          <c:order val="0"/>
          <c:tx>
            <c:strRef>
              <c:f>Interested!$D$1</c:f>
              <c:strCache>
                <c:ptCount val="1"/>
                <c:pt idx="0">
                  <c:v>UK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7.2014904214683151E-2"/>
                  <c:y val="7.600420519642128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2B1-48FB-84EC-E42ACE64E8B7}"/>
                </c:ext>
              </c:extLst>
            </c:dLbl>
            <c:dLbl>
              <c:idx val="1"/>
              <c:layout>
                <c:manualLayout>
                  <c:x val="-2.777646380994717E-3"/>
                  <c:y val="8.579330172284323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2B1-48FB-84EC-E42ACE64E8B7}"/>
                </c:ext>
              </c:extLst>
            </c:dLbl>
            <c:dLbl>
              <c:idx val="2"/>
              <c:layout>
                <c:manualLayout>
                  <c:x val="7.4626843745785026E-3"/>
                  <c:y val="1.089918256130790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C16-47F7-B225-D95E5AF35DE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Interested!$A$2:$A$7</c:f>
              <c:strCache>
                <c:ptCount val="6"/>
                <c:pt idx="0">
                  <c:v>CVET</c:v>
                </c:pt>
                <c:pt idx="1">
                  <c:v>CVET                            Low SES</c:v>
                </c:pt>
                <c:pt idx="2">
                  <c:v>Time</c:v>
                </c:pt>
                <c:pt idx="3">
                  <c:v>Money</c:v>
                </c:pt>
                <c:pt idx="4">
                  <c:v>Support</c:v>
                </c:pt>
                <c:pt idx="5">
                  <c:v>Care</c:v>
                </c:pt>
              </c:strCache>
            </c:strRef>
          </c:cat>
          <c:val>
            <c:numRef>
              <c:f>Interested!$D$2:$D$7</c:f>
              <c:numCache>
                <c:formatCode>0.0%</c:formatCode>
                <c:ptCount val="6"/>
                <c:pt idx="0">
                  <c:v>0.79180000000000006</c:v>
                </c:pt>
                <c:pt idx="1">
                  <c:v>0.6694</c:v>
                </c:pt>
                <c:pt idx="2">
                  <c:v>0.30990000000000001</c:v>
                </c:pt>
                <c:pt idx="3">
                  <c:v>0.1273</c:v>
                </c:pt>
                <c:pt idx="4">
                  <c:v>6.3600000000000004E-2</c:v>
                </c:pt>
                <c:pt idx="5">
                  <c:v>7.8100000000000003E-2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B1-48FB-84EC-E42ACE64E8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075343"/>
        <c:axId val="182076303"/>
      </c:radarChart>
      <c:catAx>
        <c:axId val="1820753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1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076303"/>
        <c:crosses val="autoZero"/>
        <c:auto val="1"/>
        <c:lblAlgn val="ctr"/>
        <c:lblOffset val="100"/>
        <c:noMultiLvlLbl val="0"/>
      </c:catAx>
      <c:valAx>
        <c:axId val="182076303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crossAx val="1820753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581025</xdr:colOff>
      <xdr:row>3</xdr:row>
      <xdr:rowOff>76200</xdr:rowOff>
    </xdr:from>
    <xdr:to>
      <xdr:col>9</xdr:col>
      <xdr:colOff>482600</xdr:colOff>
      <xdr:row>16</xdr:row>
      <xdr:rowOff>158750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29670E9-AAB6-4375-CDD2-4B5ABB4219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482599</xdr:colOff>
      <xdr:row>3</xdr:row>
      <xdr:rowOff>82550</xdr:rowOff>
    </xdr:from>
    <xdr:to>
      <xdr:col>14</xdr:col>
      <xdr:colOff>381000</xdr:colOff>
      <xdr:row>16</xdr:row>
      <xdr:rowOff>158750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1E4B65D-9DFB-C170-CDA8-4ADF5F63A5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574675</xdr:colOff>
      <xdr:row>16</xdr:row>
      <xdr:rowOff>146050</xdr:rowOff>
    </xdr:from>
    <xdr:to>
      <xdr:col>9</xdr:col>
      <xdr:colOff>463550</xdr:colOff>
      <xdr:row>30</xdr:row>
      <xdr:rowOff>25400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156D4BC-867B-9879-E60C-1110E41BDA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323849</xdr:colOff>
      <xdr:row>3</xdr:row>
      <xdr:rowOff>127000</xdr:rowOff>
    </xdr:from>
    <xdr:to>
      <xdr:col>9</xdr:col>
      <xdr:colOff>514350</xdr:colOff>
      <xdr:row>16</xdr:row>
      <xdr:rowOff>146050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1A1D9F2-F6F5-C109-FCA4-357EF4A448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609599</xdr:colOff>
      <xdr:row>3</xdr:row>
      <xdr:rowOff>139700</xdr:rowOff>
    </xdr:from>
    <xdr:to>
      <xdr:col>17</xdr:col>
      <xdr:colOff>190500</xdr:colOff>
      <xdr:row>16</xdr:row>
      <xdr:rowOff>158750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C2095C3-50E9-F798-1F22-4DE024EE21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323849</xdr:colOff>
      <xdr:row>18</xdr:row>
      <xdr:rowOff>127000</xdr:rowOff>
    </xdr:from>
    <xdr:to>
      <xdr:col>9</xdr:col>
      <xdr:colOff>514350</xdr:colOff>
      <xdr:row>31</xdr:row>
      <xdr:rowOff>146050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4B7BB5C-DA9A-B908-9973-50F0721F4E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184149</xdr:colOff>
      <xdr:row>4</xdr:row>
      <xdr:rowOff>82550</xdr:rowOff>
    </xdr:from>
    <xdr:to>
      <xdr:col>10</xdr:col>
      <xdr:colOff>520700</xdr:colOff>
      <xdr:row>17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0EC99FE-7927-4C05-876F-AC2E42456F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469899</xdr:colOff>
      <xdr:row>4</xdr:row>
      <xdr:rowOff>95250</xdr:rowOff>
    </xdr:from>
    <xdr:to>
      <xdr:col>18</xdr:col>
      <xdr:colOff>196850</xdr:colOff>
      <xdr:row>17</xdr:row>
      <xdr:rowOff>88900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FB11E86-692E-46B8-B523-11DB384657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184149</xdr:colOff>
      <xdr:row>19</xdr:row>
      <xdr:rowOff>82550</xdr:rowOff>
    </xdr:from>
    <xdr:to>
      <xdr:col>10</xdr:col>
      <xdr:colOff>520700</xdr:colOff>
      <xdr:row>32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057F91B-1708-4FEF-BB1B-3643776CE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69849</xdr:colOff>
      <xdr:row>4</xdr:row>
      <xdr:rowOff>152400</xdr:rowOff>
    </xdr:from>
    <xdr:to>
      <xdr:col>12</xdr:col>
      <xdr:colOff>425450</xdr:colOff>
      <xdr:row>17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4386AA8-D2DA-46E2-E542-AC5E6F413D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342899</xdr:colOff>
      <xdr:row>4</xdr:row>
      <xdr:rowOff>152400</xdr:rowOff>
    </xdr:from>
    <xdr:to>
      <xdr:col>20</xdr:col>
      <xdr:colOff>88900</xdr:colOff>
      <xdr:row>17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4BC3991-A13F-6E6C-2D48-230E23B2FC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76199</xdr:colOff>
      <xdr:row>19</xdr:row>
      <xdr:rowOff>152400</xdr:rowOff>
    </xdr:from>
    <xdr:to>
      <xdr:col>12</xdr:col>
      <xdr:colOff>431800</xdr:colOff>
      <xdr:row>32</xdr:row>
      <xdr:rowOff>88900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DEE59C1-A80B-DBBB-F339-845950B1CD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DD7CC-EA42-4899-8C0D-F5216B414983}">
  <dimension ref="A1:D12"/>
  <sheetViews>
    <sheetView tabSelected="1" topLeftCell="A13" workbookViewId="0">
      <selection activeCell="L19" sqref="L19"/>
    </sheetView>
  </sheetViews>
  <sheetFormatPr defaultRowHeight="14.5" x14ac:dyDescent="0.35"/>
  <cols>
    <col min="1" max="1" width="8.54296875" customWidth="1"/>
  </cols>
  <sheetData>
    <row r="1" spans="1:4" x14ac:dyDescent="0.35">
      <c r="A1" t="s">
        <v>3</v>
      </c>
      <c r="B1" t="s">
        <v>0</v>
      </c>
      <c r="C1" t="s">
        <v>1</v>
      </c>
      <c r="D1" t="s">
        <v>2</v>
      </c>
    </row>
    <row r="2" spans="1:4" x14ac:dyDescent="0.35">
      <c r="A2" t="s">
        <v>4</v>
      </c>
      <c r="B2" s="2">
        <v>0.53090000000000004</v>
      </c>
      <c r="C2" s="2">
        <v>0.59450000000000003</v>
      </c>
      <c r="D2" s="2">
        <v>0.56779999999999997</v>
      </c>
    </row>
    <row r="3" spans="1:4" x14ac:dyDescent="0.35">
      <c r="A3" t="s">
        <v>14</v>
      </c>
      <c r="B3" s="2">
        <v>0.22210000000000002</v>
      </c>
      <c r="C3" s="2">
        <v>0.38130000000000003</v>
      </c>
      <c r="D3" s="2">
        <v>0.41060000000000002</v>
      </c>
    </row>
    <row r="4" spans="1:4" x14ac:dyDescent="0.35">
      <c r="A4" t="s">
        <v>15</v>
      </c>
      <c r="B4" s="2">
        <v>0.67480000000000007</v>
      </c>
      <c r="C4" s="2">
        <v>0.69</v>
      </c>
      <c r="D4" s="2">
        <v>0.65159999999999996</v>
      </c>
    </row>
    <row r="5" spans="1:4" x14ac:dyDescent="0.35">
      <c r="A5" t="s">
        <v>13</v>
      </c>
      <c r="B5" s="2">
        <v>0.1099</v>
      </c>
      <c r="C5" s="2">
        <v>0.39779999999999999</v>
      </c>
      <c r="D5" s="2">
        <v>0.33210000000000001</v>
      </c>
    </row>
    <row r="6" spans="1:4" x14ac:dyDescent="0.35">
      <c r="A6" t="s">
        <v>12</v>
      </c>
      <c r="B6" s="2">
        <v>0.69629999999999992</v>
      </c>
      <c r="C6" s="2">
        <v>0.70709999999999995</v>
      </c>
      <c r="D6" s="2">
        <v>0.68370000000000009</v>
      </c>
    </row>
    <row r="7" spans="1:4" x14ac:dyDescent="0.35">
      <c r="A7" t="s">
        <v>17</v>
      </c>
      <c r="B7" s="2">
        <v>0.70399999999999996</v>
      </c>
      <c r="C7" s="2">
        <v>0.65400000000000003</v>
      </c>
      <c r="D7" s="2">
        <v>0.68400000000000005</v>
      </c>
    </row>
    <row r="8" spans="1:4" x14ac:dyDescent="0.35">
      <c r="B8">
        <f>B2/100</f>
        <v>5.3090000000000004E-3</v>
      </c>
      <c r="C8">
        <f t="shared" ref="C8:D8" si="0">C2/100</f>
        <v>5.9450000000000006E-3</v>
      </c>
      <c r="D8">
        <f t="shared" si="0"/>
        <v>5.6779999999999999E-3</v>
      </c>
    </row>
    <row r="9" spans="1:4" x14ac:dyDescent="0.35">
      <c r="B9">
        <f t="shared" ref="B9:D9" si="1">B3/100</f>
        <v>2.2210000000000003E-3</v>
      </c>
      <c r="C9">
        <f t="shared" si="1"/>
        <v>3.8130000000000004E-3</v>
      </c>
      <c r="D9">
        <f t="shared" si="1"/>
        <v>4.1060000000000003E-3</v>
      </c>
    </row>
    <row r="10" spans="1:4" x14ac:dyDescent="0.35">
      <c r="B10">
        <f t="shared" ref="B10:D10" si="2">B4/100</f>
        <v>6.7480000000000005E-3</v>
      </c>
      <c r="C10">
        <f t="shared" si="2"/>
        <v>6.8999999999999999E-3</v>
      </c>
      <c r="D10">
        <f t="shared" si="2"/>
        <v>6.5159999999999992E-3</v>
      </c>
    </row>
    <row r="11" spans="1:4" x14ac:dyDescent="0.35">
      <c r="B11">
        <f t="shared" ref="B11:D11" si="3">B5/100</f>
        <v>1.0989999999999999E-3</v>
      </c>
      <c r="C11">
        <f t="shared" si="3"/>
        <v>3.9779999999999998E-3</v>
      </c>
      <c r="D11">
        <f t="shared" si="3"/>
        <v>3.3210000000000002E-3</v>
      </c>
    </row>
    <row r="12" spans="1:4" x14ac:dyDescent="0.35">
      <c r="B12">
        <f t="shared" ref="B12:D12" si="4">B6/100</f>
        <v>6.9629999999999996E-3</v>
      </c>
      <c r="C12">
        <f t="shared" si="4"/>
        <v>7.0709999999999992E-3</v>
      </c>
      <c r="D12">
        <f t="shared" si="4"/>
        <v>6.8370000000000011E-3</v>
      </c>
    </row>
  </sheetData>
  <pageMargins left="0.7" right="0.7" top="0.75" bottom="0.75" header="0.3" footer="0.3"/>
  <pageSetup orientation="portrait" horizontalDpi="4294967293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D3AC9-6D59-4933-B37B-38E7DF0185C3}">
  <dimension ref="A1:E10"/>
  <sheetViews>
    <sheetView workbookViewId="0">
      <selection activeCell="M25" sqref="M25"/>
    </sheetView>
  </sheetViews>
  <sheetFormatPr defaultRowHeight="14.5" x14ac:dyDescent="0.35"/>
  <sheetData>
    <row r="1" spans="1:5" x14ac:dyDescent="0.35">
      <c r="A1" t="s">
        <v>3</v>
      </c>
      <c r="B1" t="s">
        <v>0</v>
      </c>
      <c r="C1" t="s">
        <v>1</v>
      </c>
      <c r="D1" t="s">
        <v>2</v>
      </c>
    </row>
    <row r="2" spans="1:5" x14ac:dyDescent="0.35">
      <c r="A2" t="s">
        <v>5</v>
      </c>
      <c r="B2" s="2">
        <v>0.32729999999999998</v>
      </c>
      <c r="C2" s="2">
        <v>0.36420000000000002</v>
      </c>
      <c r="D2" s="2">
        <v>0.27889999999999998</v>
      </c>
    </row>
    <row r="3" spans="1:5" x14ac:dyDescent="0.35">
      <c r="A3" t="s">
        <v>6</v>
      </c>
      <c r="B3" s="2">
        <v>0.17180000000000001</v>
      </c>
      <c r="C3" s="2">
        <v>0.16200000000000001</v>
      </c>
      <c r="D3" s="2">
        <v>0.13140000000000002</v>
      </c>
    </row>
    <row r="4" spans="1:5" x14ac:dyDescent="0.35">
      <c r="A4" t="s">
        <v>7</v>
      </c>
      <c r="B4" s="2">
        <v>2.69E-2</v>
      </c>
      <c r="C4" s="2">
        <v>3.7200000000000004E-2</v>
      </c>
      <c r="D4" s="2">
        <v>5.4000000000000006E-2</v>
      </c>
    </row>
    <row r="5" spans="1:5" x14ac:dyDescent="0.35">
      <c r="A5" t="s">
        <v>8</v>
      </c>
      <c r="B5" s="2">
        <v>3.6499999999999998E-2</v>
      </c>
      <c r="C5" s="2">
        <v>3.2500000000000001E-2</v>
      </c>
      <c r="D5" s="2">
        <v>2.7000000000000003E-2</v>
      </c>
    </row>
    <row r="6" spans="1:5" x14ac:dyDescent="0.35">
      <c r="A6" t="s">
        <v>9</v>
      </c>
      <c r="B6" s="2">
        <v>4.4299999999999999E-2</v>
      </c>
      <c r="C6" s="2">
        <v>5.3600000000000002E-2</v>
      </c>
      <c r="D6" s="2">
        <v>3.3099999999999997E-2</v>
      </c>
    </row>
    <row r="7" spans="1:5" x14ac:dyDescent="0.35">
      <c r="A7" t="s">
        <v>10</v>
      </c>
      <c r="B7" s="2">
        <f>B10/100</f>
        <v>0.5887</v>
      </c>
      <c r="C7" s="2">
        <f t="shared" ref="C7:D7" si="0">C10/100</f>
        <v>0.51800000000000002</v>
      </c>
      <c r="D7" s="2">
        <f t="shared" si="0"/>
        <v>0.57609999999999995</v>
      </c>
    </row>
    <row r="10" spans="1:5" x14ac:dyDescent="0.35">
      <c r="B10" s="1">
        <v>58.87</v>
      </c>
      <c r="C10" s="3">
        <v>51.8</v>
      </c>
      <c r="D10" s="3">
        <v>57.61</v>
      </c>
      <c r="E10" s="3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5D458-FB34-46DE-B329-23E0BB0EEF64}">
  <dimension ref="A1:D9"/>
  <sheetViews>
    <sheetView topLeftCell="E10" workbookViewId="0">
      <selection activeCell="S16" sqref="S16"/>
    </sheetView>
  </sheetViews>
  <sheetFormatPr defaultRowHeight="14.5" x14ac:dyDescent="0.35"/>
  <sheetData>
    <row r="1" spans="1:4" x14ac:dyDescent="0.35">
      <c r="A1" t="s">
        <v>3</v>
      </c>
      <c r="B1" t="s">
        <v>0</v>
      </c>
      <c r="C1" t="s">
        <v>1</v>
      </c>
      <c r="D1" t="s">
        <v>2</v>
      </c>
    </row>
    <row r="2" spans="1:4" x14ac:dyDescent="0.35">
      <c r="A2" t="s">
        <v>5</v>
      </c>
      <c r="B2" s="2">
        <v>0.18280000000000002</v>
      </c>
      <c r="C2" s="2">
        <v>0.25329999999999997</v>
      </c>
      <c r="D2" s="2">
        <v>0.18090000000000001</v>
      </c>
    </row>
    <row r="3" spans="1:4" x14ac:dyDescent="0.35">
      <c r="A3" t="s">
        <v>6</v>
      </c>
      <c r="B3" s="2">
        <v>8.0100000000000005E-2</v>
      </c>
      <c r="C3" s="2">
        <v>9.4100000000000003E-2</v>
      </c>
      <c r="D3" s="2">
        <v>7.6700000000000004E-2</v>
      </c>
    </row>
    <row r="4" spans="1:4" x14ac:dyDescent="0.35">
      <c r="A4" t="s">
        <v>7</v>
      </c>
      <c r="B4" s="2">
        <v>1.23E-2</v>
      </c>
      <c r="C4" s="2">
        <v>2.8399999999999998E-2</v>
      </c>
      <c r="D4" s="2">
        <v>2.7799999999999998E-2</v>
      </c>
    </row>
    <row r="5" spans="1:4" x14ac:dyDescent="0.35">
      <c r="A5" t="s">
        <v>8</v>
      </c>
      <c r="B5" s="2">
        <v>2.1299999999999999E-2</v>
      </c>
      <c r="C5" s="2">
        <v>2.0400000000000001E-2</v>
      </c>
      <c r="D5" s="2">
        <v>2.35E-2</v>
      </c>
    </row>
    <row r="6" spans="1:4" x14ac:dyDescent="0.35">
      <c r="A6" t="s">
        <v>9</v>
      </c>
      <c r="B6" s="2">
        <v>2.3199999999999998E-2</v>
      </c>
      <c r="C6" s="2">
        <v>4.1200000000000001E-2</v>
      </c>
      <c r="D6" s="2">
        <v>2.0199999999999999E-2</v>
      </c>
    </row>
    <row r="7" spans="1:4" x14ac:dyDescent="0.35">
      <c r="A7" t="s">
        <v>10</v>
      </c>
      <c r="B7" s="2">
        <f>B9/100</f>
        <v>0.75340000000000007</v>
      </c>
      <c r="C7" s="2">
        <f t="shared" ref="C7:D7" si="0">C9/100</f>
        <v>0.65650000000000008</v>
      </c>
      <c r="D7" s="2">
        <f t="shared" si="0"/>
        <v>0.73659999999999992</v>
      </c>
    </row>
    <row r="9" spans="1:4" x14ac:dyDescent="0.35">
      <c r="B9" s="1">
        <v>75.34</v>
      </c>
      <c r="C9" s="3">
        <v>65.650000000000006</v>
      </c>
      <c r="D9" s="1">
        <v>73.66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CDA98-AC76-4FBF-98F0-484ECCA294C8}">
  <dimension ref="A1:E14"/>
  <sheetViews>
    <sheetView workbookViewId="0">
      <selection activeCell="O14" sqref="O14"/>
    </sheetView>
  </sheetViews>
  <sheetFormatPr defaultRowHeight="14.5" x14ac:dyDescent="0.35"/>
  <sheetData>
    <row r="1" spans="1:5" x14ac:dyDescent="0.35">
      <c r="A1" t="s">
        <v>3</v>
      </c>
      <c r="B1" t="s">
        <v>0</v>
      </c>
      <c r="C1" t="s">
        <v>1</v>
      </c>
      <c r="D1" t="s">
        <v>2</v>
      </c>
    </row>
    <row r="2" spans="1:5" x14ac:dyDescent="0.35">
      <c r="A2" t="s">
        <v>11</v>
      </c>
      <c r="B2" s="2">
        <f>B9/100</f>
        <v>0.76400000000000001</v>
      </c>
      <c r="C2" s="2">
        <f t="shared" ref="C2:D2" si="0">C9/100</f>
        <v>0.73840000000000006</v>
      </c>
      <c r="D2" s="2">
        <f t="shared" si="0"/>
        <v>0.79180000000000006</v>
      </c>
    </row>
    <row r="3" spans="1:5" x14ac:dyDescent="0.35">
      <c r="A3" t="s">
        <v>16</v>
      </c>
      <c r="B3" s="2">
        <f t="shared" ref="B3:D3" si="1">B10/100</f>
        <v>0.58320000000000005</v>
      </c>
      <c r="C3" s="2">
        <f t="shared" si="1"/>
        <v>0.59799999999999998</v>
      </c>
      <c r="D3" s="2">
        <f t="shared" si="1"/>
        <v>0.6694</v>
      </c>
    </row>
    <row r="4" spans="1:5" x14ac:dyDescent="0.35">
      <c r="A4" t="s">
        <v>6</v>
      </c>
      <c r="B4" s="2">
        <f t="shared" ref="B4:D4" si="2">B11/100</f>
        <v>0.4178</v>
      </c>
      <c r="C4" s="2">
        <f t="shared" si="2"/>
        <v>0.33600000000000002</v>
      </c>
      <c r="D4" s="2">
        <f t="shared" si="2"/>
        <v>0.30990000000000001</v>
      </c>
    </row>
    <row r="5" spans="1:5" ht="14" customHeight="1" x14ac:dyDescent="0.35">
      <c r="A5" t="s">
        <v>7</v>
      </c>
      <c r="B5" s="2">
        <f t="shared" ref="B5:D5" si="3">B12/100</f>
        <v>6.5299999999999997E-2</v>
      </c>
      <c r="C5" s="2">
        <f t="shared" si="3"/>
        <v>7.7199999999999991E-2</v>
      </c>
      <c r="D5" s="2">
        <f t="shared" si="3"/>
        <v>0.1273</v>
      </c>
    </row>
    <row r="6" spans="1:5" x14ac:dyDescent="0.35">
      <c r="A6" t="s">
        <v>8</v>
      </c>
      <c r="B6" s="2">
        <f t="shared" ref="B6:D6" si="4">B13/100</f>
        <v>8.8599999999999998E-2</v>
      </c>
      <c r="C6" s="2">
        <f t="shared" si="4"/>
        <v>6.7400000000000002E-2</v>
      </c>
      <c r="D6" s="2">
        <f t="shared" si="4"/>
        <v>6.3600000000000004E-2</v>
      </c>
    </row>
    <row r="7" spans="1:5" x14ac:dyDescent="0.35">
      <c r="A7" t="s">
        <v>9</v>
      </c>
      <c r="B7" s="2">
        <f t="shared" ref="B7:D7" si="5">B14/100</f>
        <v>0.10779999999999999</v>
      </c>
      <c r="C7" s="2">
        <f t="shared" si="5"/>
        <v>0.11130000000000001</v>
      </c>
      <c r="D7" s="2">
        <f t="shared" si="5"/>
        <v>7.8100000000000003E-2</v>
      </c>
    </row>
    <row r="8" spans="1:5" x14ac:dyDescent="0.35">
      <c r="B8" s="1"/>
      <c r="C8" s="1"/>
      <c r="D8" s="1"/>
    </row>
    <row r="9" spans="1:5" x14ac:dyDescent="0.35">
      <c r="B9" s="3">
        <v>76.400000000000006</v>
      </c>
      <c r="C9" s="3">
        <v>73.84</v>
      </c>
      <c r="D9" s="3">
        <v>79.180000000000007</v>
      </c>
      <c r="E9" s="3"/>
    </row>
    <row r="10" spans="1:5" x14ac:dyDescent="0.35">
      <c r="B10" s="3">
        <v>58.32</v>
      </c>
      <c r="C10" s="3">
        <v>59.8</v>
      </c>
      <c r="D10" s="3">
        <v>66.94</v>
      </c>
      <c r="E10" s="3"/>
    </row>
    <row r="11" spans="1:5" x14ac:dyDescent="0.35">
      <c r="B11" s="1">
        <v>41.78</v>
      </c>
      <c r="C11" s="3">
        <v>33.6</v>
      </c>
      <c r="D11" s="3">
        <v>30.99</v>
      </c>
      <c r="E11" s="3"/>
    </row>
    <row r="12" spans="1:5" x14ac:dyDescent="0.35">
      <c r="B12" s="3">
        <v>6.53</v>
      </c>
      <c r="C12" s="1">
        <v>7.72</v>
      </c>
      <c r="D12" s="3">
        <v>12.73</v>
      </c>
      <c r="E12" s="3"/>
    </row>
    <row r="13" spans="1:5" x14ac:dyDescent="0.35">
      <c r="B13" s="1">
        <v>8.86</v>
      </c>
      <c r="C13" s="1">
        <v>6.74</v>
      </c>
      <c r="D13" s="1">
        <v>6.36</v>
      </c>
    </row>
    <row r="14" spans="1:5" x14ac:dyDescent="0.35">
      <c r="B14" s="3">
        <v>10.78</v>
      </c>
      <c r="C14" s="3">
        <v>11.13</v>
      </c>
      <c r="D14" s="3">
        <v>7.81</v>
      </c>
      <c r="E14" s="3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E8733-FF48-4C3D-B25F-EAAA263A093A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CVET</vt:lpstr>
      <vt:lpstr>Barriers</vt:lpstr>
      <vt:lpstr>Barriers_low</vt:lpstr>
      <vt:lpstr>Interested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Breznau, Nathan</dc:creator>
  <cp:lastModifiedBy>Breznau, Nathan</cp:lastModifiedBy>
  <dcterms:created xsi:type="dcterms:W3CDTF">2025-09-26T09:13:38Z</dcterms:created>
  <dcterms:modified xsi:type="dcterms:W3CDTF">2025-10-02T15:31:53Z</dcterms:modified>
</cp:coreProperties>
</file>